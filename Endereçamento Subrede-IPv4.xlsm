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osé\Downloads\"/>
    </mc:Choice>
  </mc:AlternateContent>
  <xr:revisionPtr revIDLastSave="0" documentId="13_ncr:1_{DEC69F8D-5EA0-4061-81AD-738A62DD27FC}" xr6:coauthVersionLast="47" xr6:coauthVersionMax="47" xr10:uidLastSave="{00000000-0000-0000-0000-000000000000}"/>
  <bookViews>
    <workbookView xWindow="-38520" yWindow="-5925" windowWidth="38640" windowHeight="15840" xr2:uid="{A52BBAD5-C418-4106-B4CF-0E893841BC35}"/>
  </bookViews>
  <sheets>
    <sheet name="Endereçamento IP" sheetId="3" r:id="rId1"/>
    <sheet name="Planilha2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" i="2" l="1"/>
</calcChain>
</file>

<file path=xl/sharedStrings.xml><?xml version="1.0" encoding="utf-8"?>
<sst xmlns="http://schemas.openxmlformats.org/spreadsheetml/2006/main" count="140" uniqueCount="110">
  <si>
    <t>Plano de endereçamento de Subredes IP</t>
  </si>
  <si>
    <t>Empresa pequeno porte</t>
  </si>
  <si>
    <t>17 equipamentos</t>
  </si>
  <si>
    <t>PCs</t>
  </si>
  <si>
    <t>#</t>
  </si>
  <si>
    <t>ID Rede</t>
  </si>
  <si>
    <t>Faixa Host</t>
  </si>
  <si>
    <t>Broadcast</t>
  </si>
  <si>
    <t>CENÁRIO 1 FIREWALL</t>
  </si>
  <si>
    <t>4 dept.</t>
  </si>
  <si>
    <t>ADM</t>
  </si>
  <si>
    <t>SERVS</t>
  </si>
  <si>
    <t>172.30.16.0</t>
  </si>
  <si>
    <t>172.30.16.1 - 172.30.31.254</t>
  </si>
  <si>
    <t>172.30.31.255</t>
  </si>
  <si>
    <t>INTERFACES</t>
  </si>
  <si>
    <t>R-MikroTik</t>
  </si>
  <si>
    <t>IP</t>
  </si>
  <si>
    <t>RECEP</t>
  </si>
  <si>
    <t>ROUTERS</t>
  </si>
  <si>
    <t>172.30.96.0</t>
  </si>
  <si>
    <t>172.30.96.1 - 172.30.111.254</t>
  </si>
  <si>
    <t>172.30.111.255</t>
  </si>
  <si>
    <t>NIC0-BRIDGE</t>
  </si>
  <si>
    <t>10.0.0.124 /24</t>
  </si>
  <si>
    <t>LABOR</t>
  </si>
  <si>
    <t>172.30.32.0</t>
  </si>
  <si>
    <t>172.30.32.1 - 172.30.47.254</t>
  </si>
  <si>
    <t>172.30.47.255</t>
  </si>
  <si>
    <t>NIC1-INT-SERV</t>
  </si>
  <si>
    <t>172.30.16.1</t>
  </si>
  <si>
    <t>OPTEC1</t>
  </si>
  <si>
    <t>172.30.48.0</t>
  </si>
  <si>
    <t>172.30.48.1 - 172.30.63.254</t>
  </si>
  <si>
    <t>172.30.63.255</t>
  </si>
  <si>
    <t>NIC2 -ADM</t>
  </si>
  <si>
    <t>172.30.32.1</t>
  </si>
  <si>
    <t>OPTEC2</t>
  </si>
  <si>
    <t>172.30.64.0</t>
  </si>
  <si>
    <t>172.30.64.1 - 172.30.79.254</t>
  </si>
  <si>
    <t>172.30.79.255</t>
  </si>
  <si>
    <t>NIC2 -OPTEC</t>
  </si>
  <si>
    <t>172.30.80.1</t>
  </si>
  <si>
    <t>TOTAL DE QUIPAMENTOS</t>
  </si>
  <si>
    <t>OPTEC</t>
  </si>
  <si>
    <t>172.30.80.0</t>
  </si>
  <si>
    <t>172.30.80.1 - 172.30.95.254</t>
  </si>
  <si>
    <t>172.30.95.255</t>
  </si>
  <si>
    <t>WIN-SERVER</t>
  </si>
  <si>
    <t>Faixa IP</t>
  </si>
  <si>
    <t>172.30.0.0/16</t>
  </si>
  <si>
    <t>CLASSE B</t>
  </si>
  <si>
    <t>Livres</t>
  </si>
  <si>
    <t>INT-SERV</t>
  </si>
  <si>
    <t>172.30.16.6</t>
  </si>
  <si>
    <t>NSR</t>
  </si>
  <si>
    <r>
      <t>(2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) = 16</t>
    </r>
  </si>
  <si>
    <t>172.30.112.0</t>
  </si>
  <si>
    <t>172.30.112.1 - 172.30.127.254</t>
  </si>
  <si>
    <t>172.30.127.255</t>
  </si>
  <si>
    <t>Bits SR</t>
  </si>
  <si>
    <t>172.30.128.0</t>
  </si>
  <si>
    <t>172.30.128.1 - 172.30.143.254</t>
  </si>
  <si>
    <t>172.30.143.255</t>
  </si>
  <si>
    <t>CENÁRIO 2 FIREWALL</t>
  </si>
  <si>
    <t>Bits Hst</t>
  </si>
  <si>
    <t>172.30.144.0</t>
  </si>
  <si>
    <t>172.30.144.1 - 172.30.159.254</t>
  </si>
  <si>
    <t>172.30.159.255</t>
  </si>
  <si>
    <t>NH/SR</t>
  </si>
  <si>
    <r>
      <t>(2</t>
    </r>
    <r>
      <rPr>
        <vertAlign val="superscript"/>
        <sz val="11"/>
        <color theme="1"/>
        <rFont val="Calibri"/>
        <family val="2"/>
        <scheme val="minor"/>
      </rPr>
      <t>9</t>
    </r>
    <r>
      <rPr>
        <sz val="11"/>
        <color theme="1"/>
        <rFont val="Calibri"/>
        <family val="2"/>
        <scheme val="minor"/>
      </rPr>
      <t>-2) = 4094</t>
    </r>
  </si>
  <si>
    <t>172.30.160.0</t>
  </si>
  <si>
    <t>172.30.160.1 - 172.30.175.254</t>
  </si>
  <si>
    <t>172.30.175.255</t>
  </si>
  <si>
    <t>192.168.200.15</t>
  </si>
  <si>
    <t>Mask</t>
  </si>
  <si>
    <t>255.255.240.0</t>
  </si>
  <si>
    <t>/20</t>
  </si>
  <si>
    <t>172.30.176.0</t>
  </si>
  <si>
    <t>172.30.176.1 - 172.30.191.254</t>
  </si>
  <si>
    <t>172.30.191.255</t>
  </si>
  <si>
    <t>NIC1-RMK-PFSENSE</t>
  </si>
  <si>
    <t>172.30.96.1</t>
  </si>
  <si>
    <t>172.30.192.0</t>
  </si>
  <si>
    <t>172.30.192.1 - 172.30.207.254</t>
  </si>
  <si>
    <t>172.30.207.255</t>
  </si>
  <si>
    <t>172.30.208.0</t>
  </si>
  <si>
    <t>172.30.208.1 - 172.30.223.254</t>
  </si>
  <si>
    <t>172.30.223.255</t>
  </si>
  <si>
    <t>PFSENSE</t>
  </si>
  <si>
    <t>172.30.224.0</t>
  </si>
  <si>
    <t>172.30.224.0 - 172.30.239.254</t>
  </si>
  <si>
    <t>172.30.239.255</t>
  </si>
  <si>
    <t>172.30.96.2</t>
  </si>
  <si>
    <t>172.30.240.0</t>
  </si>
  <si>
    <t>172.30.240.1- 172.30.240.254</t>
  </si>
  <si>
    <t>172.30.240.255</t>
  </si>
  <si>
    <t>RESERVADO</t>
  </si>
  <si>
    <t>172.30.0.0</t>
  </si>
  <si>
    <t>172.30.0.1 - 172.30.15.254</t>
  </si>
  <si>
    <t>172.30.15.255</t>
  </si>
  <si>
    <t>CONVERSÃO BINÁRIA</t>
  </si>
  <si>
    <t>CALCULO DE MASK CIDR / VARIAÇÃO IP</t>
  </si>
  <si>
    <t>/16</t>
  </si>
  <si>
    <t>00011110</t>
  </si>
  <si>
    <t>00000000</t>
  </si>
  <si>
    <r>
      <t>2</t>
    </r>
    <r>
      <rPr>
        <vertAlign val="superscript"/>
        <sz val="11"/>
        <color theme="1"/>
        <rFont val="Calibri"/>
        <family val="2"/>
        <scheme val="minor"/>
      </rPr>
      <t>16</t>
    </r>
    <r>
      <rPr>
        <sz val="11"/>
        <color theme="1"/>
        <rFont val="Calibri"/>
        <family val="2"/>
        <scheme val="minor"/>
      </rPr>
      <t>-2</t>
    </r>
  </si>
  <si>
    <t>HOSTS</t>
  </si>
  <si>
    <t>MASK</t>
  </si>
  <si>
    <t>VARIAÇÃO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</si>
</sst>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quotePrefix="1"/>
    <xf numFmtId="0" fontId="1" fillId="0" borderId="0" xfId="0" quotePrefix="1" applyFont="1"/>
    <xf numFmtId="12" fontId="0" fillId="0" borderId="0" xfId="0" quotePrefix="1" applyNumberFormat="1" applyAlignment="1">
      <alignment horizontal="center"/>
    </xf>
    <xf numFmtId="3" fontId="0" fillId="0" borderId="0" xfId="0" applyNumberFormat="1" applyAlignment="1">
      <alignment horizontal="center"/>
    </xf>
    <xf numFmtId="0" fontId="0" fillId="8" borderId="0" xfId="0" applyFill="1"/>
    <xf numFmtId="0" fontId="0" fillId="10" borderId="1" xfId="0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0" fillId="5" borderId="1" xfId="0" applyFill="1" applyBorder="1"/>
    <xf numFmtId="0" fontId="0" fillId="11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15" borderId="1" xfId="0" applyFill="1" applyBorder="1" applyAlignment="1">
      <alignment horizontal="center"/>
    </xf>
    <xf numFmtId="0" fontId="0" fillId="15" borderId="1" xfId="0" applyFill="1" applyBorder="1"/>
    <xf numFmtId="0" fontId="0" fillId="16" borderId="1" xfId="0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2" fillId="14" borderId="1" xfId="0" applyFont="1" applyFill="1" applyBorder="1" applyAlignment="1">
      <alignment horizontal="center"/>
    </xf>
    <xf numFmtId="0" fontId="2" fillId="19" borderId="1" xfId="0" applyFont="1" applyFill="1" applyBorder="1" applyAlignment="1">
      <alignment horizontal="center"/>
    </xf>
    <xf numFmtId="0" fontId="8" fillId="12" borderId="1" xfId="0" applyFont="1" applyFill="1" applyBorder="1" applyAlignment="1">
      <alignment horizontal="center" textRotation="45"/>
    </xf>
    <xf numFmtId="0" fontId="2" fillId="0" borderId="1" xfId="0" applyFont="1" applyBorder="1" applyAlignment="1">
      <alignment horizontal="center" vertical="center" textRotation="90"/>
    </xf>
    <xf numFmtId="0" fontId="2" fillId="10" borderId="1" xfId="0" applyFont="1" applyFill="1" applyBorder="1" applyAlignment="1">
      <alignment horizontal="center"/>
    </xf>
    <xf numFmtId="0" fontId="9" fillId="12" borderId="1" xfId="0" applyFont="1" applyFill="1" applyBorder="1" applyAlignment="1">
      <alignment horizontal="center" textRotation="30"/>
    </xf>
    <xf numFmtId="0" fontId="2" fillId="7" borderId="4" xfId="0" applyFont="1" applyFill="1" applyBorder="1" applyAlignment="1">
      <alignment horizontal="center" vertical="center" textRotation="90"/>
    </xf>
    <xf numFmtId="0" fontId="8" fillId="12" borderId="3" xfId="0" applyFont="1" applyFill="1" applyBorder="1" applyAlignment="1">
      <alignment horizontal="center" vertical="center" textRotation="90"/>
    </xf>
    <xf numFmtId="0" fontId="8" fillId="12" borderId="4" xfId="0" applyFont="1" applyFill="1" applyBorder="1" applyAlignment="1">
      <alignment horizontal="center" vertical="center" textRotation="90"/>
    </xf>
    <xf numFmtId="0" fontId="6" fillId="9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A51DE-E3A9-4782-AD7F-27185A13FA79}">
  <dimension ref="B1:N26"/>
  <sheetViews>
    <sheetView tabSelected="1" topLeftCell="B1" workbookViewId="0">
      <selection activeCell="D10" sqref="D10"/>
    </sheetView>
  </sheetViews>
  <sheetFormatPr defaultRowHeight="15" x14ac:dyDescent="0.25"/>
  <cols>
    <col min="2" max="2" width="9.140625" customWidth="1"/>
    <col min="3" max="3" width="12.7109375" bestFit="1" customWidth="1"/>
    <col min="6" max="6" width="11.5703125" bestFit="1" customWidth="1"/>
    <col min="7" max="7" width="3" bestFit="1" customWidth="1"/>
    <col min="8" max="8" width="11.7109375" bestFit="1" customWidth="1"/>
    <col min="9" max="9" width="26.5703125" bestFit="1" customWidth="1"/>
    <col min="10" max="10" width="13.85546875" bestFit="1" customWidth="1"/>
    <col min="13" max="13" width="18.7109375" bestFit="1" customWidth="1"/>
    <col min="14" max="14" width="14" customWidth="1"/>
  </cols>
  <sheetData>
    <row r="1" spans="2:14" x14ac:dyDescent="0.25">
      <c r="B1" t="s">
        <v>0</v>
      </c>
    </row>
    <row r="2" spans="2:14" x14ac:dyDescent="0.25">
      <c r="B2" t="s">
        <v>1</v>
      </c>
    </row>
    <row r="3" spans="2:14" x14ac:dyDescent="0.25">
      <c r="B3" t="s">
        <v>2</v>
      </c>
    </row>
    <row r="4" spans="2:14" ht="15" customHeight="1" x14ac:dyDescent="0.25">
      <c r="D4" s="11" t="s">
        <v>3</v>
      </c>
      <c r="G4" s="11" t="s">
        <v>4</v>
      </c>
      <c r="H4" s="11" t="s">
        <v>5</v>
      </c>
      <c r="I4" s="11" t="s">
        <v>6</v>
      </c>
      <c r="J4" s="11" t="s">
        <v>7</v>
      </c>
      <c r="L4" s="35" t="s">
        <v>8</v>
      </c>
      <c r="M4" s="35"/>
      <c r="N4" s="35"/>
    </row>
    <row r="5" spans="2:14" ht="15" customHeight="1" x14ac:dyDescent="0.25">
      <c r="B5" s="38" t="s">
        <v>9</v>
      </c>
      <c r="C5" s="12" t="s">
        <v>10</v>
      </c>
      <c r="D5" s="12">
        <v>4</v>
      </c>
      <c r="F5" s="32" t="s">
        <v>11</v>
      </c>
      <c r="G5" s="32">
        <v>0</v>
      </c>
      <c r="H5" s="32" t="s">
        <v>12</v>
      </c>
      <c r="I5" s="32" t="s">
        <v>13</v>
      </c>
      <c r="J5" s="32" t="s">
        <v>14</v>
      </c>
      <c r="L5" s="42" t="s">
        <v>15</v>
      </c>
      <c r="M5" s="28" t="s">
        <v>16</v>
      </c>
      <c r="N5" s="28" t="s">
        <v>17</v>
      </c>
    </row>
    <row r="6" spans="2:14" x14ac:dyDescent="0.25">
      <c r="B6" s="38"/>
      <c r="C6" s="1" t="s">
        <v>18</v>
      </c>
      <c r="D6" s="1">
        <v>2</v>
      </c>
      <c r="F6" s="29" t="s">
        <v>19</v>
      </c>
      <c r="G6" s="30">
        <v>1</v>
      </c>
      <c r="H6" s="31" t="s">
        <v>20</v>
      </c>
      <c r="I6" s="31" t="s">
        <v>21</v>
      </c>
      <c r="J6" s="31" t="s">
        <v>22</v>
      </c>
      <c r="L6" s="43"/>
      <c r="M6" s="26" t="s">
        <v>23</v>
      </c>
      <c r="N6" s="26" t="s">
        <v>24</v>
      </c>
    </row>
    <row r="7" spans="2:14" x14ac:dyDescent="0.25">
      <c r="B7" s="38"/>
      <c r="C7" s="2" t="s">
        <v>25</v>
      </c>
      <c r="D7" s="2">
        <v>1</v>
      </c>
      <c r="F7" s="12" t="s">
        <v>10</v>
      </c>
      <c r="G7" s="12">
        <v>2</v>
      </c>
      <c r="H7" s="12" t="s">
        <v>26</v>
      </c>
      <c r="I7" s="12" t="s">
        <v>27</v>
      </c>
      <c r="J7" s="12" t="s">
        <v>28</v>
      </c>
      <c r="L7" s="43"/>
      <c r="M7" s="32" t="s">
        <v>29</v>
      </c>
      <c r="N7" s="32" t="s">
        <v>30</v>
      </c>
    </row>
    <row r="8" spans="2:14" ht="15" customHeight="1" x14ac:dyDescent="0.25">
      <c r="B8" s="38"/>
      <c r="C8" s="3" t="s">
        <v>31</v>
      </c>
      <c r="D8" s="3">
        <v>5</v>
      </c>
      <c r="F8" s="1" t="s">
        <v>18</v>
      </c>
      <c r="G8" s="1">
        <v>3</v>
      </c>
      <c r="H8" s="1" t="s">
        <v>32</v>
      </c>
      <c r="I8" s="1" t="s">
        <v>33</v>
      </c>
      <c r="J8" s="1" t="s">
        <v>34</v>
      </c>
      <c r="L8" s="43"/>
      <c r="M8" s="12" t="s">
        <v>35</v>
      </c>
      <c r="N8" s="12" t="s">
        <v>36</v>
      </c>
    </row>
    <row r="9" spans="2:14" x14ac:dyDescent="0.25">
      <c r="B9" s="38"/>
      <c r="C9" s="33" t="s">
        <v>37</v>
      </c>
      <c r="D9" s="33">
        <v>5</v>
      </c>
      <c r="F9" s="2" t="s">
        <v>25</v>
      </c>
      <c r="G9" s="2">
        <v>4</v>
      </c>
      <c r="H9" s="2" t="s">
        <v>38</v>
      </c>
      <c r="I9" s="2" t="s">
        <v>39</v>
      </c>
      <c r="J9" s="2" t="s">
        <v>40</v>
      </c>
      <c r="L9" s="43"/>
      <c r="M9" s="12" t="s">
        <v>41</v>
      </c>
      <c r="N9" s="12" t="s">
        <v>42</v>
      </c>
    </row>
    <row r="10" spans="2:14" x14ac:dyDescent="0.25">
      <c r="B10" s="39" t="s">
        <v>43</v>
      </c>
      <c r="C10" s="39"/>
      <c r="D10" s="23">
        <v>17</v>
      </c>
      <c r="F10" s="3" t="s">
        <v>44</v>
      </c>
      <c r="G10" s="3">
        <v>5</v>
      </c>
      <c r="H10" s="3" t="s">
        <v>45</v>
      </c>
      <c r="I10" s="3" t="s">
        <v>46</v>
      </c>
      <c r="J10" s="3" t="s">
        <v>47</v>
      </c>
      <c r="L10" s="15"/>
      <c r="M10" s="15"/>
      <c r="N10" s="15"/>
    </row>
    <row r="11" spans="2:14" x14ac:dyDescent="0.25">
      <c r="L11" s="40" t="s">
        <v>15</v>
      </c>
      <c r="M11" s="28" t="s">
        <v>48</v>
      </c>
      <c r="N11" s="28" t="s">
        <v>17</v>
      </c>
    </row>
    <row r="12" spans="2:14" ht="15" customHeight="1" x14ac:dyDescent="0.25">
      <c r="B12" s="5" t="s">
        <v>49</v>
      </c>
      <c r="C12" s="6" t="s">
        <v>50</v>
      </c>
      <c r="D12" s="5" t="s">
        <v>51</v>
      </c>
      <c r="F12" s="41" t="s">
        <v>52</v>
      </c>
      <c r="G12" s="13" t="s">
        <v>4</v>
      </c>
      <c r="H12" s="11" t="s">
        <v>5</v>
      </c>
      <c r="I12" s="11" t="s">
        <v>6</v>
      </c>
      <c r="J12" s="11" t="s">
        <v>7</v>
      </c>
      <c r="L12" s="40"/>
      <c r="M12" s="32" t="s">
        <v>53</v>
      </c>
      <c r="N12" s="32" t="s">
        <v>54</v>
      </c>
    </row>
    <row r="13" spans="2:14" ht="17.25" customHeight="1" x14ac:dyDescent="0.25">
      <c r="B13" s="8" t="s">
        <v>55</v>
      </c>
      <c r="C13" s="7" t="s">
        <v>56</v>
      </c>
      <c r="F13" s="41"/>
      <c r="G13" s="13">
        <v>6</v>
      </c>
      <c r="H13" s="14" t="s">
        <v>57</v>
      </c>
      <c r="I13" s="14" t="s">
        <v>58</v>
      </c>
      <c r="J13" s="14" t="s">
        <v>59</v>
      </c>
      <c r="L13" s="15"/>
      <c r="M13" s="15"/>
      <c r="N13" s="15"/>
    </row>
    <row r="14" spans="2:14" x14ac:dyDescent="0.25">
      <c r="B14" s="8" t="s">
        <v>60</v>
      </c>
      <c r="C14" s="7">
        <v>4</v>
      </c>
      <c r="F14" s="41"/>
      <c r="G14" s="13">
        <v>7</v>
      </c>
      <c r="H14" s="14" t="s">
        <v>61</v>
      </c>
      <c r="I14" s="14" t="s">
        <v>62</v>
      </c>
      <c r="J14" s="14" t="s">
        <v>63</v>
      </c>
      <c r="L14" s="36" t="s">
        <v>64</v>
      </c>
      <c r="M14" s="36"/>
      <c r="N14" s="36"/>
    </row>
    <row r="15" spans="2:14" x14ac:dyDescent="0.25">
      <c r="B15" s="8" t="s">
        <v>65</v>
      </c>
      <c r="C15" s="7">
        <v>9</v>
      </c>
      <c r="F15" s="41"/>
      <c r="G15" s="13">
        <v>8</v>
      </c>
      <c r="H15" s="14" t="s">
        <v>66</v>
      </c>
      <c r="I15" s="14" t="s">
        <v>67</v>
      </c>
      <c r="J15" s="14" t="s">
        <v>68</v>
      </c>
      <c r="L15" s="37" t="s">
        <v>15</v>
      </c>
      <c r="M15" s="34" t="s">
        <v>16</v>
      </c>
      <c r="N15" s="34" t="s">
        <v>17</v>
      </c>
    </row>
    <row r="16" spans="2:14" ht="17.25" x14ac:dyDescent="0.25">
      <c r="B16" s="8" t="s">
        <v>69</v>
      </c>
      <c r="C16" s="7" t="s">
        <v>70</v>
      </c>
      <c r="F16" s="41"/>
      <c r="G16" s="13">
        <v>9</v>
      </c>
      <c r="H16" s="14" t="s">
        <v>71</v>
      </c>
      <c r="I16" s="14" t="s">
        <v>72</v>
      </c>
      <c r="J16" s="14" t="s">
        <v>73</v>
      </c>
      <c r="L16" s="37"/>
      <c r="M16" s="26" t="s">
        <v>23</v>
      </c>
      <c r="N16" s="26" t="s">
        <v>74</v>
      </c>
    </row>
    <row r="17" spans="2:14" x14ac:dyDescent="0.25">
      <c r="B17" s="8" t="s">
        <v>75</v>
      </c>
      <c r="C17" s="10" t="s">
        <v>76</v>
      </c>
      <c r="D17" s="9" t="s">
        <v>77</v>
      </c>
      <c r="F17" s="41"/>
      <c r="G17" s="13">
        <v>10</v>
      </c>
      <c r="H17" s="14" t="s">
        <v>78</v>
      </c>
      <c r="I17" s="14" t="s">
        <v>79</v>
      </c>
      <c r="J17" s="14" t="s">
        <v>80</v>
      </c>
      <c r="L17" s="37"/>
      <c r="M17" s="30" t="s">
        <v>81</v>
      </c>
      <c r="N17" s="30" t="s">
        <v>82</v>
      </c>
    </row>
    <row r="18" spans="2:14" x14ac:dyDescent="0.25">
      <c r="F18" s="41"/>
      <c r="G18" s="13">
        <v>11</v>
      </c>
      <c r="H18" s="14" t="s">
        <v>83</v>
      </c>
      <c r="I18" s="14" t="s">
        <v>84</v>
      </c>
      <c r="J18" s="14" t="s">
        <v>85</v>
      </c>
      <c r="L18" s="15"/>
      <c r="M18" s="15"/>
      <c r="N18" s="15"/>
    </row>
    <row r="19" spans="2:14" ht="15" customHeight="1" x14ac:dyDescent="0.25">
      <c r="F19" s="41"/>
      <c r="G19" s="13">
        <v>12</v>
      </c>
      <c r="H19" s="14" t="s">
        <v>86</v>
      </c>
      <c r="I19" s="14" t="s">
        <v>87</v>
      </c>
      <c r="J19" s="14" t="s">
        <v>88</v>
      </c>
      <c r="L19" s="42" t="s">
        <v>15</v>
      </c>
      <c r="M19" s="34" t="s">
        <v>89</v>
      </c>
      <c r="N19" s="34" t="s">
        <v>17</v>
      </c>
    </row>
    <row r="20" spans="2:14" x14ac:dyDescent="0.25">
      <c r="F20" s="41"/>
      <c r="G20" s="13">
        <v>13</v>
      </c>
      <c r="H20" s="14" t="s">
        <v>90</v>
      </c>
      <c r="I20" s="14" t="s">
        <v>91</v>
      </c>
      <c r="J20" s="14" t="s">
        <v>92</v>
      </c>
      <c r="L20" s="43"/>
      <c r="M20" s="30" t="s">
        <v>81</v>
      </c>
      <c r="N20" s="30" t="s">
        <v>93</v>
      </c>
    </row>
    <row r="21" spans="2:14" x14ac:dyDescent="0.25">
      <c r="F21" s="41"/>
      <c r="G21" s="27">
        <v>14</v>
      </c>
      <c r="H21" s="14" t="s">
        <v>94</v>
      </c>
      <c r="I21" s="14" t="s">
        <v>95</v>
      </c>
      <c r="J21" s="14" t="s">
        <v>96</v>
      </c>
      <c r="L21" s="43"/>
      <c r="M21" s="32" t="s">
        <v>29</v>
      </c>
      <c r="N21" s="32" t="s">
        <v>30</v>
      </c>
    </row>
    <row r="22" spans="2:14" x14ac:dyDescent="0.25">
      <c r="F22" s="24" t="s">
        <v>97</v>
      </c>
      <c r="G22" s="4">
        <v>15</v>
      </c>
      <c r="H22" s="25" t="s">
        <v>98</v>
      </c>
      <c r="I22" s="25" t="s">
        <v>99</v>
      </c>
      <c r="J22" s="25" t="s">
        <v>100</v>
      </c>
      <c r="L22" s="43"/>
      <c r="M22" s="12" t="s">
        <v>35</v>
      </c>
      <c r="N22" s="12" t="s">
        <v>36</v>
      </c>
    </row>
    <row r="23" spans="2:14" x14ac:dyDescent="0.25">
      <c r="L23" s="43"/>
      <c r="M23" s="33" t="s">
        <v>41</v>
      </c>
      <c r="N23" s="33" t="s">
        <v>42</v>
      </c>
    </row>
    <row r="25" spans="2:14" x14ac:dyDescent="0.25">
      <c r="L25" s="40" t="s">
        <v>15</v>
      </c>
      <c r="M25" s="34" t="s">
        <v>48</v>
      </c>
      <c r="N25" s="34" t="s">
        <v>17</v>
      </c>
    </row>
    <row r="26" spans="2:14" x14ac:dyDescent="0.25">
      <c r="L26" s="40"/>
      <c r="M26" s="32" t="s">
        <v>53</v>
      </c>
      <c r="N26" s="32" t="s">
        <v>54</v>
      </c>
    </row>
  </sheetData>
  <mergeCells count="10">
    <mergeCell ref="L25:L26"/>
    <mergeCell ref="F12:F21"/>
    <mergeCell ref="L19:L23"/>
    <mergeCell ref="L5:L9"/>
    <mergeCell ref="L4:N4"/>
    <mergeCell ref="L14:N14"/>
    <mergeCell ref="L15:L17"/>
    <mergeCell ref="B5:B9"/>
    <mergeCell ref="B10:C10"/>
    <mergeCell ref="L11:L12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4D693-3D42-4605-BECF-502F7635EAB3}">
  <dimension ref="A1:T12"/>
  <sheetViews>
    <sheetView workbookViewId="0">
      <selection activeCell="M11" sqref="M11"/>
    </sheetView>
  </sheetViews>
  <sheetFormatPr defaultRowHeight="15" x14ac:dyDescent="0.25"/>
  <cols>
    <col min="10" max="10" width="9.140625" style="22"/>
    <col min="12" max="12" width="10.42578125" bestFit="1" customWidth="1"/>
  </cols>
  <sheetData>
    <row r="1" spans="1:20" x14ac:dyDescent="0.25">
      <c r="A1" s="44" t="s">
        <v>101</v>
      </c>
      <c r="B1" s="44"/>
      <c r="C1" s="44"/>
      <c r="D1" s="44"/>
      <c r="E1" s="44"/>
      <c r="F1" s="44"/>
      <c r="G1" s="44"/>
      <c r="H1" s="44"/>
      <c r="I1" s="44"/>
      <c r="K1" s="45" t="s">
        <v>102</v>
      </c>
      <c r="L1" s="45"/>
      <c r="M1" s="45"/>
      <c r="N1" s="45"/>
      <c r="O1" s="45"/>
      <c r="P1" s="45"/>
      <c r="Q1" s="45"/>
      <c r="R1" s="45"/>
      <c r="S1" s="45"/>
      <c r="T1" s="45"/>
    </row>
    <row r="2" spans="1:20" x14ac:dyDescent="0.25">
      <c r="A2" s="44"/>
      <c r="B2" s="44"/>
      <c r="C2" s="44"/>
      <c r="D2" s="44"/>
      <c r="E2" s="44"/>
      <c r="F2" s="44"/>
      <c r="G2" s="44"/>
      <c r="H2" s="44"/>
      <c r="I2" s="44"/>
      <c r="K2" s="45"/>
      <c r="L2" s="45"/>
      <c r="M2" s="45"/>
      <c r="N2" s="45"/>
      <c r="O2" s="45"/>
      <c r="P2" s="45"/>
      <c r="Q2" s="45"/>
      <c r="R2" s="45"/>
      <c r="S2" s="45"/>
      <c r="T2" s="45"/>
    </row>
    <row r="3" spans="1:20" x14ac:dyDescent="0.25">
      <c r="A3" s="17">
        <v>172</v>
      </c>
      <c r="B3" s="17">
        <v>30</v>
      </c>
      <c r="C3" s="17">
        <v>0</v>
      </c>
      <c r="D3" s="17">
        <v>0</v>
      </c>
      <c r="E3" s="17" t="s">
        <v>103</v>
      </c>
    </row>
    <row r="4" spans="1:20" x14ac:dyDescent="0.25">
      <c r="A4">
        <v>10101100</v>
      </c>
      <c r="B4" s="18" t="s">
        <v>104</v>
      </c>
      <c r="C4" s="18" t="s">
        <v>105</v>
      </c>
      <c r="D4" s="18" t="s">
        <v>105</v>
      </c>
    </row>
    <row r="5" spans="1:20" x14ac:dyDescent="0.25">
      <c r="A5">
        <v>11111111</v>
      </c>
      <c r="B5">
        <v>11111111</v>
      </c>
      <c r="C5" s="19" t="s">
        <v>105</v>
      </c>
      <c r="D5" s="19" t="s">
        <v>105</v>
      </c>
    </row>
    <row r="6" spans="1:20" ht="17.25" x14ac:dyDescent="0.25">
      <c r="F6" s="20" t="s">
        <v>106</v>
      </c>
      <c r="G6" s="21">
        <v>65534</v>
      </c>
      <c r="H6" t="s">
        <v>107</v>
      </c>
      <c r="L6" s="15">
        <v>1</v>
      </c>
      <c r="M6" s="15">
        <v>1</v>
      </c>
      <c r="N6" s="15">
        <v>1</v>
      </c>
      <c r="O6" s="15">
        <v>1</v>
      </c>
    </row>
    <row r="7" spans="1:20" x14ac:dyDescent="0.25">
      <c r="L7" s="16">
        <v>128</v>
      </c>
      <c r="M7" s="16">
        <v>64</v>
      </c>
      <c r="N7" s="16">
        <v>32</v>
      </c>
      <c r="O7" s="16">
        <v>16</v>
      </c>
      <c r="P7" s="16">
        <v>8</v>
      </c>
      <c r="Q7" s="16">
        <v>4</v>
      </c>
      <c r="R7" s="16">
        <v>2</v>
      </c>
      <c r="S7" s="16">
        <v>1</v>
      </c>
    </row>
    <row r="8" spans="1:20" x14ac:dyDescent="0.25">
      <c r="B8" s="16">
        <v>128</v>
      </c>
      <c r="C8" s="16">
        <v>64</v>
      </c>
      <c r="D8" s="16">
        <v>32</v>
      </c>
      <c r="E8" s="16">
        <v>16</v>
      </c>
      <c r="F8" s="16">
        <v>8</v>
      </c>
      <c r="G8" s="16">
        <v>4</v>
      </c>
      <c r="H8" s="16">
        <v>2</v>
      </c>
      <c r="I8" s="16">
        <v>1</v>
      </c>
    </row>
    <row r="9" spans="1:20" x14ac:dyDescent="0.25">
      <c r="A9" s="17">
        <v>172</v>
      </c>
      <c r="B9" s="15">
        <v>1</v>
      </c>
      <c r="C9" s="15">
        <v>0</v>
      </c>
      <c r="D9" s="15">
        <v>1</v>
      </c>
      <c r="E9" s="15">
        <v>0</v>
      </c>
      <c r="F9" s="15">
        <v>1</v>
      </c>
      <c r="G9" s="15">
        <v>1</v>
      </c>
      <c r="H9" s="15">
        <v>0</v>
      </c>
      <c r="I9" s="15">
        <v>0</v>
      </c>
    </row>
    <row r="10" spans="1:20" x14ac:dyDescent="0.25">
      <c r="A10" s="17">
        <v>30</v>
      </c>
      <c r="B10" s="15">
        <v>0</v>
      </c>
      <c r="C10" s="15">
        <v>0</v>
      </c>
      <c r="D10" s="15">
        <v>0</v>
      </c>
      <c r="E10" s="15">
        <v>1</v>
      </c>
      <c r="F10" s="15">
        <v>1</v>
      </c>
      <c r="G10" s="15">
        <v>1</v>
      </c>
      <c r="H10" s="15">
        <v>1</v>
      </c>
      <c r="I10" s="15">
        <v>0</v>
      </c>
      <c r="L10" t="s">
        <v>108</v>
      </c>
      <c r="M10" s="15">
        <f>SUM(L7,M7,N7,O7)</f>
        <v>240</v>
      </c>
    </row>
    <row r="11" spans="1:20" x14ac:dyDescent="0.25">
      <c r="A11" s="17">
        <v>0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L11" t="s">
        <v>109</v>
      </c>
      <c r="M11" s="15">
        <v>16</v>
      </c>
    </row>
    <row r="12" spans="1:20" x14ac:dyDescent="0.25">
      <c r="A12" s="17">
        <v>0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</row>
  </sheetData>
  <mergeCells count="2">
    <mergeCell ref="A1:I2"/>
    <mergeCell ref="K1:T2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9871E78B9CF4F4ABB4200E0999F5EF5" ma:contentTypeVersion="8" ma:contentTypeDescription="Crie um novo documento." ma:contentTypeScope="" ma:versionID="1595fff06651d57feb1137b0beeed2ce">
  <xsd:schema xmlns:xsd="http://www.w3.org/2001/XMLSchema" xmlns:xs="http://www.w3.org/2001/XMLSchema" xmlns:p="http://schemas.microsoft.com/office/2006/metadata/properties" xmlns:ns2="adc47533-ea67-43b3-af75-3a05f90e5f53" targetNamespace="http://schemas.microsoft.com/office/2006/metadata/properties" ma:root="true" ma:fieldsID="1e147438da9e8302a1b6bc9b357a4682" ns2:_="">
    <xsd:import namespace="adc47533-ea67-43b3-af75-3a05f90e5f5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c47533-ea67-43b3-af75-3a05f90e5f5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DDB9C81-FCF5-497D-8598-46E4D362293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AB6AFB1-1E3E-4666-AFCC-8BB3BEE7C1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dc47533-ea67-43b3-af75-3a05f90e5f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86F11E6-FC70-43E1-B8C6-A2BC4C2DE5E6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Endereçamento IP</vt:lpstr>
      <vt:lpstr>Planilha2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GAMER</dc:creator>
  <cp:keywords/>
  <dc:description/>
  <cp:lastModifiedBy>josé</cp:lastModifiedBy>
  <cp:revision/>
  <dcterms:created xsi:type="dcterms:W3CDTF">2021-11-29T14:07:45Z</dcterms:created>
  <dcterms:modified xsi:type="dcterms:W3CDTF">2022-03-15T00:15:04Z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0x01010049871E78B9CF4F4ABB4200E0999F5EF5</vt:lpwstr>
  </property>
</Properties>
</file>